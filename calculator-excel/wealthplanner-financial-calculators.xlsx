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ai di sini" sheetId="1" state="visible" r:id="rId1"/>
    <sheet xmlns:r="http://schemas.openxmlformats.org/officeDocument/2006/relationships" name="Financial Check-Up" sheetId="2" state="visible" r:id="rId2"/>
    <sheet xmlns:r="http://schemas.openxmlformats.org/officeDocument/2006/relationships" name="KPR" sheetId="3" state="visible" r:id="rId3"/>
    <sheet xmlns:r="http://schemas.openxmlformats.org/officeDocument/2006/relationships" name="Dana Pendidikan" sheetId="4" state="visible" r:id="rId4"/>
    <sheet xmlns:r="http://schemas.openxmlformats.org/officeDocument/2006/relationships" name="Dana Pensiun" sheetId="5" state="visible" r:id="rId5"/>
    <sheet xmlns:r="http://schemas.openxmlformats.org/officeDocument/2006/relationships" name="Warisan" sheetId="6" state="visible" r:id="rId6"/>
    <sheet xmlns:r="http://schemas.openxmlformats.org/officeDocument/2006/relationships" name="Haji &amp; Umrah" sheetId="7" state="visible" r:id="rId7"/>
    <sheet xmlns:r="http://schemas.openxmlformats.org/officeDocument/2006/relationships" name="Zakat &amp; Wakaf" sheetId="8" state="visible" r:id="rId8"/>
    <sheet xmlns:r="http://schemas.openxmlformats.org/officeDocument/2006/relationships" name="Investasi" sheetId="9" state="visible" r:id="rId9"/>
    <sheet xmlns:r="http://schemas.openxmlformats.org/officeDocument/2006/relationships" name="Kebutuhan Asurans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176443"/>
    </font>
  </fonts>
  <fills count="6">
    <fill>
      <patternFill/>
    </fill>
    <fill>
      <patternFill patternType="gray125"/>
    </fill>
    <fill>
      <patternFill patternType="solid">
        <fgColor rgb="00103B2D"/>
      </patternFill>
    </fill>
    <fill>
      <patternFill patternType="solid">
        <fgColor rgb="00DCEFE3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3" fontId="0" fillId="4" borderId="0" applyAlignment="1" pivotButton="0" quotePrefix="0" xfId="0">
      <alignment vertical="center" wrapText="1"/>
    </xf>
    <xf numFmtId="3" fontId="3" fillId="5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</cols>
  <sheetData>
    <row r="1">
      <c r="A1" t="inlineStr">
        <is>
          <t>WEALTHPLANNER — FINANCIAL CALCULATORS</t>
        </is>
      </c>
    </row>
    <row r="2">
      <c r="A2" t="inlineStr">
        <is>
          <t>Input kuning; hasil hijau; angka indikatif.</t>
        </is>
      </c>
    </row>
    <row r="3">
      <c r="A3" t="inlineStr">
        <is>
          <t>Lihat docs/FORMULA-AND-ASSUMPTIONS.md untuk batasan rumus.</t>
        </is>
      </c>
    </row>
    <row r="4">
      <c r="A4" t="inlineStr">
        <is>
          <t>Worksheet</t>
        </is>
      </c>
      <c r="B4" t="inlineStr">
        <is>
          <t>Tujuan</t>
        </is>
      </c>
    </row>
    <row r="5">
      <c r="A5" t="inlineStr">
        <is>
          <t>Financial Check-Up</t>
        </is>
      </c>
      <c r="B5" t="inlineStr">
        <is>
          <t>Rasio cash flow dan dana darurat</t>
        </is>
      </c>
    </row>
    <row r="6">
      <c r="A6" t="inlineStr">
        <is>
          <t>KPR</t>
        </is>
      </c>
      <c r="B6" t="inlineStr">
        <is>
          <t>Estimasi cicilan</t>
        </is>
      </c>
    </row>
    <row r="7">
      <c r="A7" t="inlineStr">
        <is>
          <t>Dana Pendidikan</t>
        </is>
      </c>
      <c r="B7" t="inlineStr">
        <is>
          <t>Target biaya dan setoran</t>
        </is>
      </c>
    </row>
    <row r="8">
      <c r="A8" t="inlineStr">
        <is>
          <t>Dana Pensiun</t>
        </is>
      </c>
      <c r="B8" t="inlineStr">
        <is>
          <t>Estimasi modal pensiun</t>
        </is>
      </c>
    </row>
    <row r="9">
      <c r="A9" t="inlineStr">
        <is>
          <t>Warisan</t>
        </is>
      </c>
      <c r="B9" t="inlineStr">
        <is>
          <t>Aset bersih dan alokasi indikatif</t>
        </is>
      </c>
    </row>
    <row r="10">
      <c r="A10" t="inlineStr">
        <is>
          <t>Haji &amp; Umrah</t>
        </is>
      </c>
      <c r="B10" t="inlineStr">
        <is>
          <t>Target biaya dan setoran</t>
        </is>
      </c>
    </row>
    <row r="11">
      <c r="A11" t="inlineStr">
        <is>
          <t>Zakat &amp; Wakaf</t>
        </is>
      </c>
      <c r="B11" t="inlineStr">
        <is>
          <t>Simulasi zakat dan wakaf</t>
        </is>
      </c>
    </row>
    <row r="12">
      <c r="A12" t="inlineStr">
        <is>
          <t>Investasi</t>
        </is>
      </c>
      <c r="B12" t="inlineStr">
        <is>
          <t>Nilai akhir dan setoran</t>
        </is>
      </c>
    </row>
    <row r="13">
      <c r="A13" t="inlineStr">
        <is>
          <t>Kebutuhan Asuransi</t>
        </is>
      </c>
      <c r="B13" t="inlineStr">
        <is>
          <t>Estimasi proteksi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</cols>
  <sheetData>
    <row r="1">
      <c r="A1" s="1" t="inlineStr">
        <is>
          <t>FINANCIAL CHECK-UP</t>
        </is>
      </c>
      <c r="B1" s="1" t="n"/>
    </row>
    <row r="2">
      <c r="A2" s="2" t="inlineStr">
        <is>
          <t>Input kuning; hasil hijau.</t>
        </is>
      </c>
      <c r="B2" s="2" t="n"/>
    </row>
    <row r="3">
      <c r="A3" s="3" t="inlineStr">
        <is>
          <t>Parameter</t>
        </is>
      </c>
      <c r="B3" s="3" t="inlineStr">
        <is>
          <t>Nilai</t>
        </is>
      </c>
    </row>
    <row r="4">
      <c r="A4" s="2" t="inlineStr">
        <is>
          <t>Penghasilan bulanan</t>
        </is>
      </c>
      <c r="B4" s="4" t="n">
        <v>15000000</v>
      </c>
    </row>
    <row r="5">
      <c r="A5" s="2" t="inlineStr">
        <is>
          <t>Pengeluaran bulanan</t>
        </is>
      </c>
      <c r="B5" s="4" t="n">
        <v>9000000</v>
      </c>
    </row>
    <row r="6">
      <c r="A6" s="2" t="inlineStr">
        <is>
          <t>Aset likuid</t>
        </is>
      </c>
      <c r="B6" s="4" t="n">
        <v>30000000</v>
      </c>
    </row>
    <row r="7">
      <c r="A7" s="2" t="inlineStr">
        <is>
          <t>Cicilan bulanan</t>
        </is>
      </c>
      <c r="B7" s="4" t="n">
        <v>2500000</v>
      </c>
    </row>
    <row r="8">
      <c r="A8" s="2" t="inlineStr">
        <is>
          <t>Dana darurat (bulan)</t>
        </is>
      </c>
      <c r="B8" s="5">
        <f>IF(B5=0,0,B6/B5)</f>
        <v/>
      </c>
    </row>
    <row r="9">
      <c r="A9" s="2" t="inlineStr">
        <is>
          <t>Rasio tabungan</t>
        </is>
      </c>
      <c r="B9" s="6">
        <f>IF(B4=0,0,(B4-B5)/B4)</f>
        <v/>
      </c>
    </row>
    <row r="10">
      <c r="A10" s="2" t="inlineStr">
        <is>
          <t>Rasio cicilan</t>
        </is>
      </c>
      <c r="B10" s="6">
        <f>IF(B4=0,0,B7/B4)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</cols>
  <sheetData>
    <row r="1">
      <c r="A1" s="1" t="inlineStr">
        <is>
          <t>KPR</t>
        </is>
      </c>
      <c r="B1" s="1" t="n"/>
    </row>
    <row r="2">
      <c r="A2" s="2" t="inlineStr">
        <is>
          <t>Input kuning; hasil hijau.</t>
        </is>
      </c>
      <c r="B2" s="2" t="n"/>
    </row>
    <row r="3">
      <c r="A3" s="3" t="inlineStr">
        <is>
          <t>Parameter</t>
        </is>
      </c>
      <c r="B3" s="3" t="inlineStr">
        <is>
          <t>Nilai</t>
        </is>
      </c>
    </row>
    <row r="4">
      <c r="A4" s="2" t="inlineStr">
        <is>
          <t>Harga rumah</t>
        </is>
      </c>
      <c r="B4" s="4" t="n">
        <v>1000000000</v>
      </c>
    </row>
    <row r="5">
      <c r="A5" s="2" t="inlineStr">
        <is>
          <t>DP</t>
        </is>
      </c>
      <c r="B5" s="4" t="n">
        <v>200000000</v>
      </c>
    </row>
    <row r="6">
      <c r="A6" s="2" t="inlineStr">
        <is>
          <t>Tingkat tahunan</t>
        </is>
      </c>
      <c r="B6" s="6" t="n">
        <v>0.06</v>
      </c>
    </row>
    <row r="7">
      <c r="A7" s="2" t="inlineStr">
        <is>
          <t>Tenor tahun</t>
        </is>
      </c>
      <c r="B7" s="4" t="n">
        <v>20</v>
      </c>
    </row>
    <row r="8">
      <c r="A8" s="2" t="inlineStr">
        <is>
          <t>Pokok pembiayaan</t>
        </is>
      </c>
      <c r="B8" s="5">
        <f>MAX(0,B4-B5)</f>
        <v/>
      </c>
    </row>
    <row r="9">
      <c r="A9" s="2" t="inlineStr">
        <is>
          <t>Cicilan bulanan</t>
        </is>
      </c>
      <c r="B9" s="5">
        <f>IF(B7&lt;=0,0,IF(B6=0,B7/(B3*12),B7*(POWER(1+B6,1/12)-1)/(1-POWER(1+(POWER(1+B6,1/12)-1),-B3*12)))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</cols>
  <sheetData>
    <row r="1">
      <c r="A1" s="1" t="inlineStr">
        <is>
          <t>DANA PENDIDIKAN</t>
        </is>
      </c>
      <c r="B1" s="1" t="n"/>
    </row>
    <row r="2">
      <c r="A2" s="2" t="inlineStr">
        <is>
          <t>Input kuning; hasil hijau.</t>
        </is>
      </c>
      <c r="B2" s="2" t="n"/>
    </row>
    <row r="3">
      <c r="A3" s="3" t="inlineStr">
        <is>
          <t>Parameter</t>
        </is>
      </c>
      <c r="B3" s="3" t="inlineStr">
        <is>
          <t>Nilai</t>
        </is>
      </c>
    </row>
    <row r="4">
      <c r="A4" s="2" t="inlineStr">
        <is>
          <t>Biaya saat ini</t>
        </is>
      </c>
      <c r="B4" s="4" t="n">
        <v>250000000</v>
      </c>
    </row>
    <row r="5">
      <c r="A5" s="2" t="inlineStr">
        <is>
          <t>Jangka waktu tahun</t>
        </is>
      </c>
      <c r="B5" s="4" t="n">
        <v>15</v>
      </c>
    </row>
    <row r="6">
      <c r="A6" s="2" t="inlineStr">
        <is>
          <t>Inflasi</t>
        </is>
      </c>
      <c r="B6" s="6" t="n">
        <v>0.04</v>
      </c>
    </row>
    <row r="7">
      <c r="A7" s="2" t="inlineStr">
        <is>
          <t>Return tahunan</t>
        </is>
      </c>
      <c r="B7" s="6" t="n">
        <v>0.06</v>
      </c>
    </row>
    <row r="8">
      <c r="A8" s="2" t="inlineStr">
        <is>
          <t>Target masa depan</t>
        </is>
      </c>
      <c r="B8" s="5">
        <f>B4*POWER(1+B5,B3)</f>
        <v/>
      </c>
    </row>
    <row r="9">
      <c r="A9" s="2" t="inlineStr">
        <is>
          <t>Setoran bulanan</t>
        </is>
      </c>
      <c r="B9" s="5">
        <f>IF(B3&lt;=0,0,IF(B6=0,B7/(B3*12),B7*(POWER(1+B6,1/12)-1)/(POWER(1+(POWER(1+B6,1/12)-1),B3*12)-1)))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</cols>
  <sheetData>
    <row r="1">
      <c r="A1" s="1" t="inlineStr">
        <is>
          <t>DANA PENSIUN</t>
        </is>
      </c>
      <c r="B1" s="1" t="n"/>
    </row>
    <row r="2">
      <c r="A2" s="2" t="inlineStr">
        <is>
          <t>Input kuning; hasil hijau.</t>
        </is>
      </c>
      <c r="B2" s="2" t="n"/>
    </row>
    <row r="3">
      <c r="A3" s="3" t="inlineStr">
        <is>
          <t>Parameter</t>
        </is>
      </c>
      <c r="B3" s="3" t="inlineStr">
        <is>
          <t>Nilai</t>
        </is>
      </c>
    </row>
    <row r="4">
      <c r="A4" s="2" t="inlineStr">
        <is>
          <t>Pengeluaran bulanan</t>
        </is>
      </c>
      <c r="B4" s="4" t="n">
        <v>9000000</v>
      </c>
    </row>
    <row r="5">
      <c r="A5" s="2" t="inlineStr">
        <is>
          <t>Tahun menuju pensiun</t>
        </is>
      </c>
      <c r="B5" s="4" t="n">
        <v>20</v>
      </c>
    </row>
    <row r="6">
      <c r="A6" s="2" t="inlineStr">
        <is>
          <t>Inflasi</t>
        </is>
      </c>
      <c r="B6" s="6" t="n">
        <v>0.04</v>
      </c>
    </row>
    <row r="7">
      <c r="A7" s="2" t="inlineStr">
        <is>
          <t>Durasi pensiun tahun</t>
        </is>
      </c>
      <c r="B7" s="4" t="n">
        <v>25</v>
      </c>
    </row>
    <row r="8">
      <c r="A8" s="2" t="inlineStr">
        <is>
          <t>Return tahunan</t>
        </is>
      </c>
      <c r="B8" s="6" t="n">
        <v>0.06</v>
      </c>
    </row>
    <row r="9">
      <c r="A9" s="2" t="inlineStr">
        <is>
          <t>Pengeluaran bulanan saat pensiun</t>
        </is>
      </c>
      <c r="B9" s="5">
        <f>B4*POWER(1+B5,B3)</f>
        <v/>
      </c>
    </row>
    <row r="10">
      <c r="A10" s="2" t="inlineStr">
        <is>
          <t>Target modal sederhana</t>
        </is>
      </c>
      <c r="B10" s="5">
        <f>B8*12*B7</f>
        <v/>
      </c>
    </row>
    <row r="11">
      <c r="A11" s="2" t="inlineStr">
        <is>
          <t>Setoran bulanan</t>
        </is>
      </c>
      <c r="B11" s="5">
        <f>IF(B3&lt;=0,0,IF(B6=0,B9/(B3*12),B9*(POWER(1+B6,1/12)-1)/(POWER(1+(POWER(1+B6,1/12)-1),B3*12)-1)))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</cols>
  <sheetData>
    <row r="1">
      <c r="A1" s="1" t="inlineStr">
        <is>
          <t>WARISAN</t>
        </is>
      </c>
      <c r="B1" s="1" t="n"/>
    </row>
    <row r="2">
      <c r="A2" s="2" t="inlineStr">
        <is>
          <t>Input kuning; hasil hijau.</t>
        </is>
      </c>
      <c r="B2" s="2" t="n"/>
    </row>
    <row r="3">
      <c r="A3" s="3" t="inlineStr">
        <is>
          <t>Parameter</t>
        </is>
      </c>
      <c r="B3" s="3" t="inlineStr">
        <is>
          <t>Nilai</t>
        </is>
      </c>
    </row>
    <row r="4">
      <c r="A4" s="2" t="inlineStr">
        <is>
          <t>Aset likuid</t>
        </is>
      </c>
      <c r="B4" s="4" t="n">
        <v>500000000</v>
      </c>
    </row>
    <row r="5">
      <c r="A5" s="2" t="inlineStr">
        <is>
          <t>Aset lain</t>
        </is>
      </c>
      <c r="B5" s="4" t="n">
        <v>1500000000</v>
      </c>
    </row>
    <row r="6">
      <c r="A6" s="2" t="inlineStr">
        <is>
          <t>Kewajiban</t>
        </is>
      </c>
      <c r="B6" s="4" t="n">
        <v>200000000</v>
      </c>
    </row>
    <row r="7">
      <c r="A7" s="2" t="inlineStr">
        <is>
          <t>Aset bersih</t>
        </is>
      </c>
      <c r="B7" s="5">
        <f>MAX(0,B4+B5-B6)</f>
        <v/>
      </c>
    </row>
    <row r="8">
      <c r="A8" s="2" t="inlineStr">
        <is>
          <t>Porsi penerima 1</t>
        </is>
      </c>
      <c r="B8" s="6" t="n">
        <v>0.5</v>
      </c>
    </row>
    <row r="9">
      <c r="A9" s="2" t="inlineStr">
        <is>
          <t>Estimasi penerima 1</t>
        </is>
      </c>
      <c r="B9" s="5">
        <f>B7*B8</f>
        <v/>
      </c>
    </row>
    <row r="10">
      <c r="A10" s="2" t="inlineStr">
        <is>
          <t>Porsi penerima 2</t>
        </is>
      </c>
      <c r="B10" s="6" t="n">
        <v>0.5</v>
      </c>
    </row>
    <row r="11">
      <c r="A11" s="2" t="inlineStr">
        <is>
          <t>Estimasi penerima 2</t>
        </is>
      </c>
      <c r="B11" s="5">
        <f>B7*B10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</cols>
  <sheetData>
    <row r="1">
      <c r="A1" s="1" t="inlineStr">
        <is>
          <t>HAJI &amp; UMRAH</t>
        </is>
      </c>
      <c r="B1" s="1" t="n"/>
    </row>
    <row r="2">
      <c r="A2" s="2" t="inlineStr">
        <is>
          <t>Input kuning; hasil hijau.</t>
        </is>
      </c>
      <c r="B2" s="2" t="n"/>
    </row>
    <row r="3">
      <c r="A3" s="3" t="inlineStr">
        <is>
          <t>Parameter</t>
        </is>
      </c>
      <c r="B3" s="3" t="inlineStr">
        <is>
          <t>Nilai</t>
        </is>
      </c>
    </row>
    <row r="4">
      <c r="A4" s="2" t="inlineStr">
        <is>
          <t>Target biaya saat ini</t>
        </is>
      </c>
      <c r="B4" s="4" t="n">
        <v>70000000</v>
      </c>
    </row>
    <row r="5">
      <c r="A5" s="2" t="inlineStr">
        <is>
          <t>Jangka waktu tahun</t>
        </is>
      </c>
      <c r="B5" s="4" t="n">
        <v>8</v>
      </c>
    </row>
    <row r="6">
      <c r="A6" s="2" t="inlineStr">
        <is>
          <t>Inflasi</t>
        </is>
      </c>
      <c r="B6" s="6" t="n">
        <v>0.04</v>
      </c>
    </row>
    <row r="7">
      <c r="A7" s="2" t="inlineStr">
        <is>
          <t>Return tahunan</t>
        </is>
      </c>
      <c r="B7" s="6" t="n">
        <v>0.04</v>
      </c>
    </row>
    <row r="8">
      <c r="A8" s="2" t="inlineStr">
        <is>
          <t>Target masa depan</t>
        </is>
      </c>
      <c r="B8" s="5">
        <f>B4*POWER(1+B5,B3)</f>
        <v/>
      </c>
    </row>
    <row r="9">
      <c r="A9" s="2" t="inlineStr">
        <is>
          <t>Setoran bulanan</t>
        </is>
      </c>
      <c r="B9" s="5">
        <f>IF(B3&lt;=0,0,IF(B6=0,B7/(B3*12),B7*(POWER(1+B6,1/12)-1)/(POWER(1+(POWER(1+B6,1/12)-1),B3*12)-1)))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</cols>
  <sheetData>
    <row r="1">
      <c r="A1" s="1" t="inlineStr">
        <is>
          <t>ZAKAT &amp; WAKAF</t>
        </is>
      </c>
      <c r="B1" s="1" t="n"/>
    </row>
    <row r="2">
      <c r="A2" s="2" t="inlineStr">
        <is>
          <t>Input kuning; hasil hijau.</t>
        </is>
      </c>
      <c r="B2" s="2" t="n"/>
    </row>
    <row r="3">
      <c r="A3" s="3" t="inlineStr">
        <is>
          <t>Parameter</t>
        </is>
      </c>
      <c r="B3" s="3" t="inlineStr">
        <is>
          <t>Nilai</t>
        </is>
      </c>
    </row>
    <row r="4">
      <c r="A4" s="2" t="inlineStr">
        <is>
          <t>Harta simulasi zakat maal</t>
        </is>
      </c>
      <c r="B4" s="4" t="n">
        <v>500000000</v>
      </c>
    </row>
    <row r="5">
      <c r="A5" s="2" t="inlineStr">
        <is>
          <t>Tarif zakat maal</t>
        </is>
      </c>
      <c r="B5" s="6" t="n">
        <v>0.025</v>
      </c>
    </row>
    <row r="6">
      <c r="A6" s="2" t="inlineStr">
        <is>
          <t>Estimasi zakat maal</t>
        </is>
      </c>
      <c r="B6" s="5">
        <f>B4*B5</f>
        <v/>
      </c>
    </row>
    <row r="7">
      <c r="A7" s="2" t="inlineStr">
        <is>
          <t>Penghasilan bulanan</t>
        </is>
      </c>
      <c r="B7" s="4" t="n">
        <v>15000000</v>
      </c>
    </row>
    <row r="8">
      <c r="A8" s="2" t="inlineStr">
        <is>
          <t>Tarif simulasi penghasilan</t>
        </is>
      </c>
      <c r="B8" s="6" t="n">
        <v>0.025</v>
      </c>
    </row>
    <row r="9">
      <c r="A9" s="2" t="inlineStr">
        <is>
          <t>Estimasi zakat penghasilan</t>
        </is>
      </c>
      <c r="B9" s="5">
        <f>B7*B8</f>
        <v/>
      </c>
    </row>
    <row r="10">
      <c r="A10" s="2" t="inlineStr">
        <is>
          <t>Nominal wakaf</t>
        </is>
      </c>
      <c r="B10" s="4" t="n">
        <v>10000000</v>
      </c>
    </row>
    <row r="11">
      <c r="A11" s="2" t="inlineStr">
        <is>
          <t>Persentase alokasi</t>
        </is>
      </c>
      <c r="B11" s="6" t="n">
        <v>0.05</v>
      </c>
    </row>
    <row r="12">
      <c r="A12" s="2" t="inlineStr">
        <is>
          <t>Simulasi wakaf</t>
        </is>
      </c>
      <c r="B12" s="5">
        <f>B10*B11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</cols>
  <sheetData>
    <row r="1">
      <c r="A1" s="1" t="inlineStr">
        <is>
          <t>INVESTASI</t>
        </is>
      </c>
      <c r="B1" s="1" t="n"/>
    </row>
    <row r="2">
      <c r="A2" s="2" t="inlineStr">
        <is>
          <t>Input kuning; hasil hijau.</t>
        </is>
      </c>
      <c r="B2" s="2" t="n"/>
    </row>
    <row r="3">
      <c r="A3" s="3" t="inlineStr">
        <is>
          <t>Parameter</t>
        </is>
      </c>
      <c r="B3" s="3" t="inlineStr">
        <is>
          <t>Nilai</t>
        </is>
      </c>
    </row>
    <row r="4">
      <c r="A4" s="2" t="inlineStr">
        <is>
          <t>Target dana</t>
        </is>
      </c>
      <c r="B4" s="4" t="n">
        <v>1000000000</v>
      </c>
    </row>
    <row r="5">
      <c r="A5" s="2" t="inlineStr">
        <is>
          <t>Setoran bulanan</t>
        </is>
      </c>
      <c r="B5" s="4" t="n">
        <v>2000000</v>
      </c>
    </row>
    <row r="6">
      <c r="A6" s="2" t="inlineStr">
        <is>
          <t>Jangka waktu tahun</t>
        </is>
      </c>
      <c r="B6" s="4" t="n">
        <v>20</v>
      </c>
    </row>
    <row r="7">
      <c r="A7" s="2" t="inlineStr">
        <is>
          <t>Return tahunan</t>
        </is>
      </c>
      <c r="B7" s="6" t="n">
        <v>0.06</v>
      </c>
    </row>
    <row r="8">
      <c r="A8" s="2" t="inlineStr">
        <is>
          <t>Nilai akhir setoran</t>
        </is>
      </c>
      <c r="B8" s="5">
        <f>IF(B7=0,B5*B6*12,B5*(POWER(1+(POWER(1+B7,1/12)-1),B6*12)-1)/(POWER(1+B7,1/12)-1))</f>
        <v/>
      </c>
    </row>
    <row r="9">
      <c r="A9" s="2" t="inlineStr">
        <is>
          <t>Setoran bulanan target</t>
        </is>
      </c>
      <c r="B9" s="5">
        <f>IF(B6&lt;=0,0,IF(B7=0,B4/(B6*12),B4*(POWER(1+B7,1/12)-1)/(POWER(1+(POWER(1+B7,1/12)-1),B6*12)-1)))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</cols>
  <sheetData>
    <row r="1">
      <c r="A1" s="1" t="inlineStr">
        <is>
          <t>KEBUTUHAN ASURANSI</t>
        </is>
      </c>
      <c r="B1" s="1" t="n"/>
    </row>
    <row r="2">
      <c r="A2" s="2" t="inlineStr">
        <is>
          <t>Input kuning; hasil hijau.</t>
        </is>
      </c>
      <c r="B2" s="2" t="n"/>
    </row>
    <row r="3">
      <c r="A3" s="3" t="inlineStr">
        <is>
          <t>Parameter</t>
        </is>
      </c>
      <c r="B3" s="3" t="inlineStr">
        <is>
          <t>Nilai</t>
        </is>
      </c>
    </row>
    <row r="4">
      <c r="A4" s="2" t="inlineStr">
        <is>
          <t>Pengeluaran keluarga bulanan</t>
        </is>
      </c>
      <c r="B4" s="4" t="n">
        <v>9000000</v>
      </c>
    </row>
    <row r="5">
      <c r="A5" s="2" t="inlineStr">
        <is>
          <t>Tahun dukungan</t>
        </is>
      </c>
      <c r="B5" s="4" t="n">
        <v>10</v>
      </c>
    </row>
    <row r="6">
      <c r="A6" s="2" t="inlineStr">
        <is>
          <t>Kewajiban</t>
        </is>
      </c>
      <c r="B6" s="4" t="n">
        <v>200000000</v>
      </c>
    </row>
    <row r="7">
      <c r="A7" s="2" t="inlineStr">
        <is>
          <t>Tujuan dana</t>
        </is>
      </c>
      <c r="B7" s="4" t="n">
        <v>250000000</v>
      </c>
    </row>
    <row r="8">
      <c r="A8" s="2" t="inlineStr">
        <is>
          <t>Aset likuid</t>
        </is>
      </c>
      <c r="B8" s="4" t="n">
        <v>100000000</v>
      </c>
    </row>
    <row r="9">
      <c r="A9" s="2" t="inlineStr">
        <is>
          <t>Estimasi proteksi</t>
        </is>
      </c>
      <c r="B9" s="5">
        <f>MAX(0,B4*12*B5+B6+B7-B8)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2026-10-28T06:47:09Z</dcterms:created>
  <dcterms:modified xmlns:dcterms="http://purl.org/dc/terms/" xmlns:xsi="http://www.w3.org/2001/XMLSchema-instance" xsi:type="dcterms:W3CDTF">2026-10-28T06:47:09Z</dcterms:modified>
</cp:coreProperties>
</file>